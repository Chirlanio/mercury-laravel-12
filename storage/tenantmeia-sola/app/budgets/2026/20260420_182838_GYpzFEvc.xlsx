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64\www\mercury\"/>
    </mc:Choice>
  </mc:AlternateContent>
  <xr:revisionPtr revIDLastSave="0" documentId="13_ncr:1_{79AD466C-F331-413C-B15C-59E67963D0EF}" xr6:coauthVersionLast="47" xr6:coauthVersionMax="47" xr10:uidLastSave="{00000000-0000-0000-0000-000000000000}"/>
  <bookViews>
    <workbookView xWindow="-108" yWindow="-108" windowWidth="23256" windowHeight="13176" xr2:uid="{9C9F249D-6CFE-4C77-AE61-0F42CB1D538A}"/>
  </bookViews>
  <sheets>
    <sheet name="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3" i="1" l="1"/>
  <c r="Q33" i="1"/>
  <c r="P33" i="1"/>
  <c r="O33" i="1"/>
  <c r="N33" i="1"/>
  <c r="M33" i="1"/>
  <c r="L33" i="1"/>
  <c r="K33" i="1"/>
  <c r="J33" i="1"/>
  <c r="I33" i="1"/>
  <c r="H33" i="1"/>
  <c r="G33" i="1"/>
  <c r="R32" i="1"/>
  <c r="Q32" i="1"/>
  <c r="P32" i="1"/>
  <c r="O32" i="1"/>
  <c r="N32" i="1"/>
  <c r="M32" i="1"/>
  <c r="L32" i="1"/>
  <c r="K32" i="1"/>
  <c r="J32" i="1"/>
  <c r="I32" i="1"/>
  <c r="H32" i="1"/>
  <c r="G32" i="1"/>
  <c r="R31" i="1"/>
  <c r="Q31" i="1"/>
  <c r="P31" i="1"/>
  <c r="O31" i="1"/>
  <c r="N31" i="1"/>
  <c r="M31" i="1"/>
  <c r="L31" i="1"/>
  <c r="K31" i="1"/>
  <c r="J31" i="1"/>
  <c r="I31" i="1"/>
  <c r="H31" i="1"/>
  <c r="G31" i="1"/>
  <c r="R30" i="1"/>
  <c r="Q30" i="1"/>
  <c r="P30" i="1"/>
  <c r="O30" i="1"/>
  <c r="N30" i="1"/>
  <c r="M30" i="1"/>
  <c r="L30" i="1"/>
  <c r="K30" i="1"/>
  <c r="J30" i="1"/>
  <c r="I30" i="1"/>
  <c r="H30" i="1"/>
  <c r="G30" i="1"/>
  <c r="S29" i="1"/>
  <c r="S28" i="1"/>
  <c r="S27" i="1"/>
  <c r="S26" i="1"/>
  <c r="R25" i="1"/>
  <c r="Q25" i="1"/>
  <c r="P25" i="1"/>
  <c r="O25" i="1"/>
  <c r="N25" i="1"/>
  <c r="M25" i="1"/>
  <c r="L25" i="1"/>
  <c r="K25" i="1"/>
  <c r="J25" i="1"/>
  <c r="I25" i="1"/>
  <c r="H25" i="1"/>
  <c r="G25" i="1"/>
  <c r="S24" i="1"/>
  <c r="S23" i="1"/>
  <c r="R22" i="1"/>
  <c r="Q22" i="1"/>
  <c r="P22" i="1"/>
  <c r="O22" i="1"/>
  <c r="N22" i="1"/>
  <c r="M22" i="1"/>
  <c r="L22" i="1"/>
  <c r="K22" i="1"/>
  <c r="J22" i="1"/>
  <c r="I22" i="1"/>
  <c r="H22" i="1"/>
  <c r="G22" i="1"/>
  <c r="R21" i="1"/>
  <c r="Q21" i="1"/>
  <c r="P21" i="1"/>
  <c r="O21" i="1"/>
  <c r="N21" i="1"/>
  <c r="M21" i="1"/>
  <c r="L21" i="1"/>
  <c r="K21" i="1"/>
  <c r="J21" i="1"/>
  <c r="I21" i="1"/>
  <c r="H21" i="1"/>
  <c r="G21" i="1"/>
  <c r="R20" i="1"/>
  <c r="Q20" i="1"/>
  <c r="P20" i="1"/>
  <c r="O20" i="1"/>
  <c r="N20" i="1"/>
  <c r="M20" i="1"/>
  <c r="L20" i="1"/>
  <c r="K20" i="1"/>
  <c r="J20" i="1"/>
  <c r="I20" i="1"/>
  <c r="H20" i="1"/>
  <c r="G20" i="1"/>
  <c r="R19" i="1"/>
  <c r="Q19" i="1"/>
  <c r="P19" i="1"/>
  <c r="O19" i="1"/>
  <c r="N19" i="1"/>
  <c r="M19" i="1"/>
  <c r="L19" i="1"/>
  <c r="K19" i="1"/>
  <c r="J19" i="1"/>
  <c r="I19" i="1"/>
  <c r="H19" i="1"/>
  <c r="G19" i="1"/>
  <c r="R18" i="1"/>
  <c r="Q18" i="1"/>
  <c r="P18" i="1"/>
  <c r="O18" i="1"/>
  <c r="N18" i="1"/>
  <c r="M18" i="1"/>
  <c r="L18" i="1"/>
  <c r="K18" i="1"/>
  <c r="J18" i="1"/>
  <c r="I18" i="1"/>
  <c r="H18" i="1"/>
  <c r="G18" i="1"/>
  <c r="R17" i="1"/>
  <c r="Q17" i="1"/>
  <c r="P17" i="1"/>
  <c r="O17" i="1"/>
  <c r="N17" i="1"/>
  <c r="M17" i="1"/>
  <c r="L17" i="1"/>
  <c r="K17" i="1"/>
  <c r="J17" i="1"/>
  <c r="I17" i="1"/>
  <c r="H17" i="1"/>
  <c r="G17" i="1"/>
  <c r="R16" i="1"/>
  <c r="Q16" i="1"/>
  <c r="P16" i="1"/>
  <c r="O16" i="1"/>
  <c r="N16" i="1"/>
  <c r="M16" i="1"/>
  <c r="L16" i="1"/>
  <c r="K16" i="1"/>
  <c r="J16" i="1"/>
  <c r="I16" i="1"/>
  <c r="H16" i="1"/>
  <c r="G16" i="1"/>
  <c r="R15" i="1"/>
  <c r="Q15" i="1"/>
  <c r="P15" i="1"/>
  <c r="O15" i="1"/>
  <c r="N15" i="1"/>
  <c r="M15" i="1"/>
  <c r="L15" i="1"/>
  <c r="K15" i="1"/>
  <c r="J15" i="1"/>
  <c r="I15" i="1"/>
  <c r="H15" i="1"/>
  <c r="G15" i="1"/>
  <c r="R14" i="1"/>
  <c r="Q14" i="1"/>
  <c r="P14" i="1"/>
  <c r="O14" i="1"/>
  <c r="N14" i="1"/>
  <c r="M14" i="1"/>
  <c r="L14" i="1"/>
  <c r="K14" i="1"/>
  <c r="J14" i="1"/>
  <c r="I14" i="1"/>
  <c r="H14" i="1"/>
  <c r="G14" i="1"/>
  <c r="R13" i="1"/>
  <c r="Q13" i="1"/>
  <c r="P13" i="1"/>
  <c r="O13" i="1"/>
  <c r="N13" i="1"/>
  <c r="M13" i="1"/>
  <c r="L13" i="1"/>
  <c r="K13" i="1"/>
  <c r="J13" i="1"/>
  <c r="I13" i="1"/>
  <c r="H13" i="1"/>
  <c r="G13" i="1"/>
  <c r="R12" i="1"/>
  <c r="Q12" i="1"/>
  <c r="P12" i="1"/>
  <c r="O12" i="1"/>
  <c r="N12" i="1"/>
  <c r="M12" i="1"/>
  <c r="L12" i="1"/>
  <c r="K12" i="1"/>
  <c r="J12" i="1"/>
  <c r="I12" i="1"/>
  <c r="H12" i="1"/>
  <c r="G12" i="1"/>
  <c r="R11" i="1"/>
  <c r="Q11" i="1"/>
  <c r="P11" i="1"/>
  <c r="O11" i="1"/>
  <c r="N11" i="1"/>
  <c r="M11" i="1"/>
  <c r="L11" i="1"/>
  <c r="K11" i="1"/>
  <c r="J11" i="1"/>
  <c r="I11" i="1"/>
  <c r="H11" i="1"/>
  <c r="G11" i="1"/>
  <c r="R10" i="1"/>
  <c r="Q10" i="1"/>
  <c r="P10" i="1"/>
  <c r="O10" i="1"/>
  <c r="N10" i="1"/>
  <c r="M10" i="1"/>
  <c r="L10" i="1"/>
  <c r="K10" i="1"/>
  <c r="J10" i="1"/>
  <c r="I10" i="1"/>
  <c r="H10" i="1"/>
  <c r="G10" i="1"/>
  <c r="R9" i="1"/>
  <c r="Q9" i="1"/>
  <c r="P9" i="1"/>
  <c r="O9" i="1"/>
  <c r="N9" i="1"/>
  <c r="M9" i="1"/>
  <c r="L9" i="1"/>
  <c r="K9" i="1"/>
  <c r="J9" i="1"/>
  <c r="I9" i="1"/>
  <c r="H9" i="1"/>
  <c r="G9" i="1"/>
  <c r="R8" i="1"/>
  <c r="Q8" i="1"/>
  <c r="P8" i="1"/>
  <c r="O8" i="1"/>
  <c r="N8" i="1"/>
  <c r="M8" i="1"/>
  <c r="L8" i="1"/>
  <c r="K8" i="1"/>
  <c r="J8" i="1"/>
  <c r="I8" i="1"/>
  <c r="H8" i="1"/>
  <c r="G8" i="1"/>
  <c r="R7" i="1"/>
  <c r="Q7" i="1"/>
  <c r="P7" i="1"/>
  <c r="O7" i="1"/>
  <c r="N7" i="1"/>
  <c r="M7" i="1"/>
  <c r="L7" i="1"/>
  <c r="K7" i="1"/>
  <c r="J7" i="1"/>
  <c r="I7" i="1"/>
  <c r="H7" i="1"/>
  <c r="G7" i="1"/>
  <c r="R6" i="1"/>
  <c r="Q6" i="1"/>
  <c r="P6" i="1"/>
  <c r="O6" i="1"/>
  <c r="N6" i="1"/>
  <c r="M6" i="1"/>
  <c r="L6" i="1"/>
  <c r="K6" i="1"/>
  <c r="J6" i="1"/>
  <c r="I6" i="1"/>
  <c r="H6" i="1"/>
  <c r="G6" i="1"/>
  <c r="R5" i="1"/>
  <c r="Q5" i="1"/>
  <c r="P5" i="1"/>
  <c r="O5" i="1"/>
  <c r="N5" i="1"/>
  <c r="M5" i="1"/>
  <c r="L5" i="1"/>
  <c r="K5" i="1"/>
  <c r="J5" i="1"/>
  <c r="I5" i="1"/>
  <c r="H5" i="1"/>
  <c r="G5" i="1"/>
  <c r="R4" i="1"/>
  <c r="Q4" i="1"/>
  <c r="P4" i="1"/>
  <c r="O4" i="1"/>
  <c r="N4" i="1"/>
  <c r="M4" i="1"/>
  <c r="L4" i="1"/>
  <c r="K4" i="1"/>
  <c r="J4" i="1"/>
  <c r="I4" i="1"/>
  <c r="H4" i="1"/>
  <c r="G4" i="1"/>
  <c r="R3" i="1"/>
  <c r="Q3" i="1"/>
  <c r="P3" i="1"/>
  <c r="O3" i="1"/>
  <c r="N3" i="1"/>
  <c r="M3" i="1"/>
  <c r="L3" i="1"/>
  <c r="K3" i="1"/>
  <c r="J3" i="1"/>
  <c r="I3" i="1"/>
  <c r="H3" i="1"/>
  <c r="G3" i="1"/>
  <c r="R2" i="1"/>
  <c r="Q2" i="1"/>
  <c r="P2" i="1"/>
  <c r="O2" i="1"/>
  <c r="N2" i="1"/>
  <c r="M2" i="1"/>
  <c r="L2" i="1"/>
  <c r="K2" i="1"/>
  <c r="J2" i="1"/>
  <c r="I2" i="1"/>
  <c r="H2" i="1"/>
  <c r="G2" i="1"/>
  <c r="S3" i="1" l="1"/>
  <c r="S7" i="1"/>
  <c r="S11" i="1"/>
  <c r="S15" i="1"/>
  <c r="S19" i="1"/>
  <c r="S4" i="1"/>
  <c r="S12" i="1"/>
  <c r="S2" i="1"/>
  <c r="S14" i="1"/>
  <c r="S8" i="1"/>
  <c r="S16" i="1"/>
  <c r="S20" i="1"/>
  <c r="S31" i="1"/>
  <c r="S30" i="1"/>
  <c r="S32" i="1"/>
  <c r="S22" i="1"/>
  <c r="S6" i="1"/>
  <c r="S33" i="1"/>
  <c r="S5" i="1"/>
  <c r="S13" i="1"/>
  <c r="S18" i="1"/>
  <c r="S21" i="1"/>
  <c r="S10" i="1"/>
  <c r="S9" i="1"/>
  <c r="S17" i="1"/>
</calcChain>
</file>

<file path=xl/sharedStrings.xml><?xml version="1.0" encoding="utf-8"?>
<sst xmlns="http://schemas.openxmlformats.org/spreadsheetml/2006/main" count="191" uniqueCount="88">
  <si>
    <t>Class contabil</t>
  </si>
  <si>
    <t>Class Gerencial</t>
  </si>
  <si>
    <t>Fornecedor</t>
  </si>
  <si>
    <t>Justificativa</t>
  </si>
  <si>
    <t>Descrição Conta</t>
  </si>
  <si>
    <t>Descrição Class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</si>
  <si>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</si>
  <si>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</si>
  <si>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</si>
  <si>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</si>
  <si>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</si>
  <si>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</si>
  <si>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</si>
  <si>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</si>
  <si>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</si>
  <si>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</si>
  <si>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</si>
  <si>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</si>
  <si>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4.2.1.04.00105</t>
  </si>
  <si>
    <t>8.1.09.23</t>
  </si>
  <si>
    <t>VTEX BRASIL TECNOLOGIA PARA E-COMMERCE LTDA</t>
  </si>
  <si>
    <t>Indeva</t>
  </si>
  <si>
    <t>INTERNET SOFTWARES E SISTEMAS</t>
  </si>
  <si>
    <t>Indeva Shutz Natal</t>
  </si>
  <si>
    <t>Indeva Shutz Recife</t>
  </si>
  <si>
    <t>Indeva Riomar Recife</t>
  </si>
  <si>
    <t>Indeva Recife</t>
  </si>
  <si>
    <t>8.1.09.03</t>
  </si>
  <si>
    <t>Indeva Azz 90</t>
  </si>
  <si>
    <t>8.1.09.09</t>
  </si>
  <si>
    <t>Indeva MS MAISON</t>
  </si>
  <si>
    <t>8.1.09.04</t>
  </si>
  <si>
    <t>Indeva ZZ 408</t>
  </si>
  <si>
    <t>8.1.09.05</t>
  </si>
  <si>
    <t>Indeva ZZ RIOMAR</t>
  </si>
  <si>
    <t>8.1.09.06</t>
  </si>
  <si>
    <t>Indeva ZZ DOM LUIS</t>
  </si>
  <si>
    <t>8.1.09.20</t>
  </si>
  <si>
    <t>Indeva STZ IGUATEMI</t>
  </si>
  <si>
    <t>8.1.09.19</t>
  </si>
  <si>
    <t>Indeva STZ RIOMAR</t>
  </si>
  <si>
    <t>8.1.09.07</t>
  </si>
  <si>
    <t>Indeva ZZ CARIRI</t>
  </si>
  <si>
    <t>8.1.09.12</t>
  </si>
  <si>
    <t>Indeva MS IGUATEMI</t>
  </si>
  <si>
    <t>8.1.09.10</t>
  </si>
  <si>
    <t>Indeva MS RIOMAR</t>
  </si>
  <si>
    <t>8.1.09.02</t>
  </si>
  <si>
    <t>Indeva ZZ KENNEDY</t>
  </si>
  <si>
    <t>8.1.09.08</t>
  </si>
  <si>
    <t>Indeva ZZ SOBRAL</t>
  </si>
  <si>
    <t>8.1.09.16</t>
  </si>
  <si>
    <t>Indeva AC IGUATEMI</t>
  </si>
  <si>
    <t>8.1.09.17</t>
  </si>
  <si>
    <t>Indeva AC RIOMAR</t>
  </si>
  <si>
    <t>8.1.09.14</t>
  </si>
  <si>
    <t>Indeva AC ALDEOTA</t>
  </si>
  <si>
    <t>8.1.09.11</t>
  </si>
  <si>
    <t>Indeva OFF ALDEOTA</t>
  </si>
  <si>
    <t>8.1.09.13</t>
  </si>
  <si>
    <t>Indeva OFF CAUCAIA</t>
  </si>
  <si>
    <t>4.2.1.04.00156</t>
  </si>
  <si>
    <t>Viagem Juazeiro - Passagem + Hospedagem + Uber</t>
  </si>
  <si>
    <t>Geral</t>
  </si>
  <si>
    <t>Viagem Natal / Recife - Passagens + Hospedagens + Uber</t>
  </si>
  <si>
    <t>4.2.1.04.00482</t>
  </si>
  <si>
    <t>Servicos de Entrega</t>
  </si>
  <si>
    <t>MOTO TAXI</t>
  </si>
  <si>
    <t>4.2.1.06.00074</t>
  </si>
  <si>
    <t>Gastos emergênciais</t>
  </si>
  <si>
    <t>4.2.1.04.00164</t>
  </si>
  <si>
    <t xml:space="preserve">Compras Avulsas </t>
  </si>
  <si>
    <t>Cartões de estacionamento shoppings</t>
  </si>
  <si>
    <t>Estacionamento</t>
  </si>
  <si>
    <t>REUNIÕES EM LOJA / GERENTES</t>
  </si>
  <si>
    <t>MATERIAL USO/CONSUMO UTILIZADO NAS LOJAS</t>
  </si>
  <si>
    <t>4.2.1.01.00047</t>
  </si>
  <si>
    <t>EVENTOS</t>
  </si>
  <si>
    <t>4.2.1.01.00080</t>
  </si>
  <si>
    <t>FRETES E CARRETOS</t>
  </si>
  <si>
    <t>4.2.1.04.00130</t>
  </si>
  <si>
    <t>CORREIOS E TELEGRAFOS</t>
  </si>
  <si>
    <t>4.2.1.04.00638</t>
  </si>
  <si>
    <t>UBER CORPORATIVO</t>
  </si>
  <si>
    <t>DESPESAS COM VIAGENS E HOSPEDAGENS</t>
  </si>
  <si>
    <t>DESPESAS INDEDUTIVEIS</t>
  </si>
  <si>
    <t>MATERIAL DE USO E CONSUMO</t>
  </si>
  <si>
    <t>Comercial -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</si>
</sst>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44" fontId="2" fillId="2" borderId="2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/>
    <xf numFmtId="0" fontId="0" fillId="5" borderId="1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44" fontId="0" fillId="0" borderId="4" xfId="2" applyFont="1" applyBorder="1" applyAlignment="1">
      <alignment horizontal="center" vertical="center"/>
    </xf>
    <xf numFmtId="44" fontId="3" fillId="0" borderId="3" xfId="2" applyFont="1" applyBorder="1" applyAlignment="1">
      <alignment horizontal="center" vertical="center"/>
    </xf>
    <xf numFmtId="44" fontId="0" fillId="0" borderId="1" xfId="2" applyFont="1" applyBorder="1" applyAlignment="1">
      <alignment horizontal="center"/>
    </xf>
    <xf numFmtId="44" fontId="3" fillId="0" borderId="1" xfId="2" applyFont="1" applyBorder="1" applyAlignment="1">
      <alignment horizontal="center"/>
    </xf>
    <xf numFmtId="44" fontId="1" fillId="5" borderId="1" xfId="2" applyFont="1" applyFill="1" applyBorder="1" applyAlignment="1">
      <alignment horizontal="right" wrapText="1"/>
    </xf>
    <xf numFmtId="43" fontId="0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44" fontId="0" fillId="0" borderId="0" xfId="2" applyFont="1"/>
    <xf numFmtId="0" fontId="3" fillId="0" borderId="0" xfId="0" applyFont="1"/>
  </cellXfs>
  <cellStyles count="3">
    <cellStyle name="Moeda" xfId="2" builtinId="4"/>
    <cellStyle name="Normal" xfId="0" builtinId="0"/>
    <cellStyle name="Vírgula" xfId="1" builtinId="3"/>
  </cellStyles>
  <dxfs count="0"/>
  <tableStyles count="1" defaultTableStyle="TableStyleMedium2" defaultPivotStyle="PivotStyleLight16">
    <tableStyle name="Invisible" pivot="0" table="0" count="0" xr9:uid="{B83A8CEF-EF33-4744-A1CD-2D511C1E599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6B36E-A10D-45D7-B732-A262A022A6FF}">
  <dimension ref="A1:S33"/>
  <sheetViews>
    <sheetView tabSelected="1" workbookViewId="0"/>
  </sheetViews>
  <sheetFormatPr defaultRowHeight="14.4" x14ac:dyDescent="0.3"/>
  <cols>
    <col min="1" max="2" width="16.5546875" customWidth="1"/>
    <col min="3" max="3" width="41.6640625" bestFit="1" customWidth="1"/>
    <col min="4" max="4" width="38.88671875" bestFit="1" customWidth="1"/>
    <col min="5" max="5" width="42.44140625" customWidth="1"/>
    <col min="6" max="6" width="33.109375" customWidth="1"/>
    <col min="7" max="7" width="13.6640625" style="18" customWidth="1"/>
    <col min="8" max="18" width="13.6640625" customWidth="1"/>
    <col min="19" max="19" width="14.109375" style="19" bestFit="1" customWidth="1"/>
  </cols>
  <sheetData>
    <row r="1" spans="1:19" s="5" customFormat="1" ht="12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>
        <v>2026</v>
      </c>
    </row>
    <row r="2" spans="1:19" ht="13.95" customHeight="1" x14ac:dyDescent="0.3">
      <c r="A2" s="6" t="s">
        <v>18</v>
      </c>
      <c r="B2" s="6" t="s">
        <v>19</v>
      </c>
      <c r="C2" s="7" t="s">
        <v>20</v>
      </c>
      <c r="D2" s="8" t="s">
        <v>21</v>
      </c>
      <c r="E2" s="9" t="s">
        <v>22</v>
      </c>
      <c r="F2" s="10" t="s">
        <v>23</v>
      </c>
      <c r="G2" s="11">
        <f t="shared" ref="G2:R2" si="0">162.44 + 0.04 * 162.44</f>
        <v>168.9376</v>
      </c>
      <c r="H2" s="11">
        <f t="shared" si="0"/>
        <v>168.9376</v>
      </c>
      <c r="I2" s="11">
        <f t="shared" si="0"/>
        <v>168.9376</v>
      </c>
      <c r="J2" s="11">
        <f t="shared" si="0"/>
        <v>168.9376</v>
      </c>
      <c r="K2" s="11">
        <f t="shared" si="0"/>
        <v>168.9376</v>
      </c>
      <c r="L2" s="11">
        <f t="shared" si="0"/>
        <v>168.9376</v>
      </c>
      <c r="M2" s="11">
        <f t="shared" si="0"/>
        <v>168.9376</v>
      </c>
      <c r="N2" s="11">
        <f t="shared" si="0"/>
        <v>168.9376</v>
      </c>
      <c r="O2" s="11">
        <f t="shared" si="0"/>
        <v>168.9376</v>
      </c>
      <c r="P2" s="11">
        <f t="shared" si="0"/>
        <v>168.9376</v>
      </c>
      <c r="Q2" s="11">
        <f t="shared" si="0"/>
        <v>168.9376</v>
      </c>
      <c r="R2" s="11">
        <f t="shared" si="0"/>
        <v>168.9376</v>
      </c>
      <c r="S2" s="12">
        <f>G2+H2+I2+J2+K2+L2+M2+N2+O2+P2+Q2+R2</f>
        <v>2027.2511999999999</v>
      </c>
    </row>
    <row r="3" spans="1:19" ht="13.95" customHeight="1" x14ac:dyDescent="0.3">
      <c r="A3" s="6" t="s">
        <v>18</v>
      </c>
      <c r="B3" s="6" t="s">
        <v>19</v>
      </c>
      <c r="C3" s="7" t="s">
        <v>20</v>
      </c>
      <c r="D3" s="8" t="s">
        <v>21</v>
      </c>
      <c r="E3" s="9" t="s">
        <v>22</v>
      </c>
      <c r="F3" s="10" t="s">
        <v>24</v>
      </c>
      <c r="G3" s="13">
        <f t="shared" ref="G3:R4" si="1">149 + 0.04 * 149</f>
        <v>154.96</v>
      </c>
      <c r="H3" s="13">
        <f t="shared" si="1"/>
        <v>154.96</v>
      </c>
      <c r="I3" s="13">
        <f t="shared" si="1"/>
        <v>154.96</v>
      </c>
      <c r="J3" s="13">
        <f t="shared" si="1"/>
        <v>154.96</v>
      </c>
      <c r="K3" s="13">
        <f t="shared" si="1"/>
        <v>154.96</v>
      </c>
      <c r="L3" s="13">
        <f t="shared" si="1"/>
        <v>154.96</v>
      </c>
      <c r="M3" s="13">
        <f t="shared" si="1"/>
        <v>154.96</v>
      </c>
      <c r="N3" s="13">
        <f t="shared" si="1"/>
        <v>154.96</v>
      </c>
      <c r="O3" s="13">
        <f t="shared" si="1"/>
        <v>154.96</v>
      </c>
      <c r="P3" s="13">
        <f t="shared" si="1"/>
        <v>154.96</v>
      </c>
      <c r="Q3" s="13">
        <f t="shared" si="1"/>
        <v>154.96</v>
      </c>
      <c r="R3" s="13">
        <f t="shared" si="1"/>
        <v>154.96</v>
      </c>
      <c r="S3" s="14">
        <f t="shared" ref="S3:S32" si="2">SUM(G3:R3)</f>
        <v>1859.5200000000002</v>
      </c>
    </row>
    <row r="4" spans="1:19" ht="13.95" customHeight="1" x14ac:dyDescent="0.3">
      <c r="A4" s="6" t="s">
        <v>18</v>
      </c>
      <c r="B4" s="6" t="s">
        <v>19</v>
      </c>
      <c r="C4" s="7" t="s">
        <v>20</v>
      </c>
      <c r="D4" s="8" t="s">
        <v>21</v>
      </c>
      <c r="E4" s="9" t="s">
        <v>22</v>
      </c>
      <c r="F4" s="10" t="s">
        <v>25</v>
      </c>
      <c r="G4" s="13">
        <f t="shared" si="1"/>
        <v>154.96</v>
      </c>
      <c r="H4" s="13">
        <f t="shared" si="1"/>
        <v>154.96</v>
      </c>
      <c r="I4" s="13">
        <f t="shared" si="1"/>
        <v>154.96</v>
      </c>
      <c r="J4" s="13">
        <f t="shared" si="1"/>
        <v>154.96</v>
      </c>
      <c r="K4" s="13">
        <f t="shared" si="1"/>
        <v>154.96</v>
      </c>
      <c r="L4" s="13">
        <f t="shared" si="1"/>
        <v>154.96</v>
      </c>
      <c r="M4" s="13">
        <f t="shared" si="1"/>
        <v>154.96</v>
      </c>
      <c r="N4" s="13">
        <f t="shared" si="1"/>
        <v>154.96</v>
      </c>
      <c r="O4" s="13">
        <f t="shared" si="1"/>
        <v>154.96</v>
      </c>
      <c r="P4" s="13">
        <f t="shared" si="1"/>
        <v>154.96</v>
      </c>
      <c r="Q4" s="13">
        <f t="shared" si="1"/>
        <v>154.96</v>
      </c>
      <c r="R4" s="13">
        <f t="shared" si="1"/>
        <v>154.96</v>
      </c>
      <c r="S4" s="14">
        <f t="shared" si="2"/>
        <v>1859.5200000000002</v>
      </c>
    </row>
    <row r="5" spans="1:19" ht="13.95" customHeight="1" x14ac:dyDescent="0.3">
      <c r="A5" s="6" t="s">
        <v>18</v>
      </c>
      <c r="B5" s="6" t="s">
        <v>19</v>
      </c>
      <c r="C5" s="7" t="s">
        <v>20</v>
      </c>
      <c r="D5" s="8" t="s">
        <v>21</v>
      </c>
      <c r="E5" s="9" t="s">
        <v>22</v>
      </c>
      <c r="F5" s="10" t="s">
        <v>26</v>
      </c>
      <c r="G5" s="13">
        <f t="shared" ref="G5:R5" si="3">152.87 + 0.04 * 152.87</f>
        <v>158.98480000000001</v>
      </c>
      <c r="H5" s="13">
        <f t="shared" si="3"/>
        <v>158.98480000000001</v>
      </c>
      <c r="I5" s="13">
        <f t="shared" si="3"/>
        <v>158.98480000000001</v>
      </c>
      <c r="J5" s="13">
        <f t="shared" si="3"/>
        <v>158.98480000000001</v>
      </c>
      <c r="K5" s="13">
        <f t="shared" si="3"/>
        <v>158.98480000000001</v>
      </c>
      <c r="L5" s="13">
        <f t="shared" si="3"/>
        <v>158.98480000000001</v>
      </c>
      <c r="M5" s="13">
        <f t="shared" si="3"/>
        <v>158.98480000000001</v>
      </c>
      <c r="N5" s="13">
        <f t="shared" si="3"/>
        <v>158.98480000000001</v>
      </c>
      <c r="O5" s="13">
        <f t="shared" si="3"/>
        <v>158.98480000000001</v>
      </c>
      <c r="P5" s="13">
        <f t="shared" si="3"/>
        <v>158.98480000000001</v>
      </c>
      <c r="Q5" s="13">
        <f t="shared" si="3"/>
        <v>158.98480000000001</v>
      </c>
      <c r="R5" s="13">
        <f t="shared" si="3"/>
        <v>158.98480000000001</v>
      </c>
      <c r="S5" s="14">
        <f t="shared" si="2"/>
        <v>1907.8175999999996</v>
      </c>
    </row>
    <row r="6" spans="1:19" ht="13.95" customHeight="1" x14ac:dyDescent="0.3">
      <c r="A6" s="6" t="s">
        <v>18</v>
      </c>
      <c r="B6" s="6" t="s">
        <v>27</v>
      </c>
      <c r="C6" s="7" t="s">
        <v>20</v>
      </c>
      <c r="D6" s="8" t="s">
        <v>21</v>
      </c>
      <c r="E6" s="9" t="s">
        <v>22</v>
      </c>
      <c r="F6" s="10" t="s">
        <v>28</v>
      </c>
      <c r="G6" s="15">
        <f t="shared" ref="G6:R21" si="4">(2682 / 17) + 0.04 * (2682 / 17)</f>
        <v>164.07529411764705</v>
      </c>
      <c r="H6" s="15">
        <f t="shared" si="4"/>
        <v>164.07529411764705</v>
      </c>
      <c r="I6" s="15">
        <f t="shared" si="4"/>
        <v>164.07529411764705</v>
      </c>
      <c r="J6" s="15">
        <f t="shared" si="4"/>
        <v>164.07529411764705</v>
      </c>
      <c r="K6" s="15">
        <f t="shared" si="4"/>
        <v>164.07529411764705</v>
      </c>
      <c r="L6" s="15">
        <f t="shared" si="4"/>
        <v>164.07529411764705</v>
      </c>
      <c r="M6" s="15">
        <f t="shared" si="4"/>
        <v>164.07529411764705</v>
      </c>
      <c r="N6" s="15">
        <f t="shared" si="4"/>
        <v>164.07529411764705</v>
      </c>
      <c r="O6" s="15">
        <f t="shared" si="4"/>
        <v>164.07529411764705</v>
      </c>
      <c r="P6" s="15">
        <f t="shared" si="4"/>
        <v>164.07529411764705</v>
      </c>
      <c r="Q6" s="15">
        <f t="shared" si="4"/>
        <v>164.07529411764705</v>
      </c>
      <c r="R6" s="15">
        <f t="shared" si="4"/>
        <v>164.07529411764705</v>
      </c>
      <c r="S6" s="14">
        <f t="shared" si="2"/>
        <v>1968.9035294117641</v>
      </c>
    </row>
    <row r="7" spans="1:19" ht="13.95" customHeight="1" x14ac:dyDescent="0.3">
      <c r="A7" s="6" t="s">
        <v>18</v>
      </c>
      <c r="B7" s="6" t="s">
        <v>29</v>
      </c>
      <c r="C7" s="7" t="s">
        <v>20</v>
      </c>
      <c r="D7" s="8" t="s">
        <v>21</v>
      </c>
      <c r="E7" s="9" t="s">
        <v>22</v>
      </c>
      <c r="F7" s="10" t="s">
        <v>30</v>
      </c>
      <c r="G7" s="15">
        <f t="shared" si="4"/>
        <v>164.07529411764705</v>
      </c>
      <c r="H7" s="15">
        <f t="shared" si="4"/>
        <v>164.07529411764705</v>
      </c>
      <c r="I7" s="15">
        <f t="shared" si="4"/>
        <v>164.07529411764705</v>
      </c>
      <c r="J7" s="15">
        <f t="shared" si="4"/>
        <v>164.07529411764705</v>
      </c>
      <c r="K7" s="15">
        <f t="shared" si="4"/>
        <v>164.07529411764705</v>
      </c>
      <c r="L7" s="15">
        <f t="shared" si="4"/>
        <v>164.07529411764705</v>
      </c>
      <c r="M7" s="15">
        <f t="shared" si="4"/>
        <v>164.07529411764705</v>
      </c>
      <c r="N7" s="15">
        <f t="shared" si="4"/>
        <v>164.07529411764705</v>
      </c>
      <c r="O7" s="15">
        <f t="shared" si="4"/>
        <v>164.07529411764705</v>
      </c>
      <c r="P7" s="15">
        <f t="shared" si="4"/>
        <v>164.07529411764705</v>
      </c>
      <c r="Q7" s="15">
        <f t="shared" si="4"/>
        <v>164.07529411764705</v>
      </c>
      <c r="R7" s="15">
        <f t="shared" si="4"/>
        <v>164.07529411764705</v>
      </c>
      <c r="S7" s="14">
        <f t="shared" si="2"/>
        <v>1968.9035294117641</v>
      </c>
    </row>
    <row r="8" spans="1:19" ht="13.95" customHeight="1" x14ac:dyDescent="0.3">
      <c r="A8" s="6" t="s">
        <v>18</v>
      </c>
      <c r="B8" s="6" t="s">
        <v>31</v>
      </c>
      <c r="C8" s="7" t="s">
        <v>20</v>
      </c>
      <c r="D8" s="8" t="s">
        <v>21</v>
      </c>
      <c r="E8" s="9" t="s">
        <v>22</v>
      </c>
      <c r="F8" s="10" t="s">
        <v>32</v>
      </c>
      <c r="G8" s="15">
        <f t="shared" si="4"/>
        <v>164.07529411764705</v>
      </c>
      <c r="H8" s="15">
        <f t="shared" si="4"/>
        <v>164.07529411764705</v>
      </c>
      <c r="I8" s="15">
        <f t="shared" si="4"/>
        <v>164.07529411764705</v>
      </c>
      <c r="J8" s="15">
        <f t="shared" si="4"/>
        <v>164.07529411764705</v>
      </c>
      <c r="K8" s="15">
        <f t="shared" si="4"/>
        <v>164.07529411764705</v>
      </c>
      <c r="L8" s="15">
        <f t="shared" si="4"/>
        <v>164.07529411764705</v>
      </c>
      <c r="M8" s="15">
        <f t="shared" si="4"/>
        <v>164.07529411764705</v>
      </c>
      <c r="N8" s="15">
        <f t="shared" si="4"/>
        <v>164.07529411764705</v>
      </c>
      <c r="O8" s="15">
        <f t="shared" si="4"/>
        <v>164.07529411764705</v>
      </c>
      <c r="P8" s="15">
        <f t="shared" si="4"/>
        <v>164.07529411764705</v>
      </c>
      <c r="Q8" s="15">
        <f t="shared" si="4"/>
        <v>164.07529411764705</v>
      </c>
      <c r="R8" s="15">
        <f t="shared" si="4"/>
        <v>164.07529411764705</v>
      </c>
      <c r="S8" s="14">
        <f t="shared" si="2"/>
        <v>1968.9035294117641</v>
      </c>
    </row>
    <row r="9" spans="1:19" ht="13.95" customHeight="1" x14ac:dyDescent="0.3">
      <c r="A9" s="6" t="s">
        <v>18</v>
      </c>
      <c r="B9" s="6" t="s">
        <v>33</v>
      </c>
      <c r="C9" s="7" t="s">
        <v>20</v>
      </c>
      <c r="D9" s="8" t="s">
        <v>21</v>
      </c>
      <c r="E9" s="9" t="s">
        <v>22</v>
      </c>
      <c r="F9" s="10" t="s">
        <v>34</v>
      </c>
      <c r="G9" s="15">
        <f t="shared" si="4"/>
        <v>164.07529411764705</v>
      </c>
      <c r="H9" s="15">
        <f t="shared" si="4"/>
        <v>164.07529411764705</v>
      </c>
      <c r="I9" s="15">
        <f t="shared" si="4"/>
        <v>164.07529411764705</v>
      </c>
      <c r="J9" s="15">
        <f t="shared" si="4"/>
        <v>164.07529411764705</v>
      </c>
      <c r="K9" s="15">
        <f t="shared" si="4"/>
        <v>164.07529411764705</v>
      </c>
      <c r="L9" s="15">
        <f t="shared" si="4"/>
        <v>164.07529411764705</v>
      </c>
      <c r="M9" s="15">
        <f t="shared" si="4"/>
        <v>164.07529411764705</v>
      </c>
      <c r="N9" s="15">
        <f t="shared" si="4"/>
        <v>164.07529411764705</v>
      </c>
      <c r="O9" s="15">
        <f t="shared" si="4"/>
        <v>164.07529411764705</v>
      </c>
      <c r="P9" s="15">
        <f t="shared" si="4"/>
        <v>164.07529411764705</v>
      </c>
      <c r="Q9" s="15">
        <f t="shared" si="4"/>
        <v>164.07529411764705</v>
      </c>
      <c r="R9" s="15">
        <f t="shared" si="4"/>
        <v>164.07529411764705</v>
      </c>
      <c r="S9" s="14">
        <f t="shared" si="2"/>
        <v>1968.9035294117641</v>
      </c>
    </row>
    <row r="10" spans="1:19" ht="13.95" customHeight="1" x14ac:dyDescent="0.3">
      <c r="A10" s="6" t="s">
        <v>18</v>
      </c>
      <c r="B10" s="6" t="s">
        <v>35</v>
      </c>
      <c r="C10" s="7" t="s">
        <v>20</v>
      </c>
      <c r="D10" s="8" t="s">
        <v>21</v>
      </c>
      <c r="E10" s="9" t="s">
        <v>22</v>
      </c>
      <c r="F10" s="10" t="s">
        <v>36</v>
      </c>
      <c r="G10" s="15">
        <f t="shared" si="4"/>
        <v>164.07529411764705</v>
      </c>
      <c r="H10" s="15">
        <f t="shared" si="4"/>
        <v>164.07529411764705</v>
      </c>
      <c r="I10" s="15">
        <f t="shared" si="4"/>
        <v>164.07529411764705</v>
      </c>
      <c r="J10" s="15">
        <f t="shared" si="4"/>
        <v>164.07529411764705</v>
      </c>
      <c r="K10" s="15">
        <f t="shared" si="4"/>
        <v>164.07529411764705</v>
      </c>
      <c r="L10" s="15">
        <f t="shared" si="4"/>
        <v>164.07529411764705</v>
      </c>
      <c r="M10" s="15">
        <f t="shared" si="4"/>
        <v>164.07529411764705</v>
      </c>
      <c r="N10" s="15">
        <f t="shared" si="4"/>
        <v>164.07529411764705</v>
      </c>
      <c r="O10" s="15">
        <f t="shared" si="4"/>
        <v>164.07529411764705</v>
      </c>
      <c r="P10" s="15">
        <f t="shared" si="4"/>
        <v>164.07529411764705</v>
      </c>
      <c r="Q10" s="15">
        <f t="shared" si="4"/>
        <v>164.07529411764705</v>
      </c>
      <c r="R10" s="15">
        <f t="shared" si="4"/>
        <v>164.07529411764705</v>
      </c>
      <c r="S10" s="14">
        <f t="shared" si="2"/>
        <v>1968.9035294117641</v>
      </c>
    </row>
    <row r="11" spans="1:19" ht="13.95" customHeight="1" x14ac:dyDescent="0.3">
      <c r="A11" s="6" t="s">
        <v>18</v>
      </c>
      <c r="B11" s="6" t="s">
        <v>37</v>
      </c>
      <c r="C11" s="7" t="s">
        <v>20</v>
      </c>
      <c r="D11" s="8" t="s">
        <v>21</v>
      </c>
      <c r="E11" s="9" t="s">
        <v>22</v>
      </c>
      <c r="F11" s="10" t="s">
        <v>38</v>
      </c>
      <c r="G11" s="15">
        <f t="shared" si="4"/>
        <v>164.07529411764705</v>
      </c>
      <c r="H11" s="15">
        <f t="shared" si="4"/>
        <v>164.07529411764705</v>
      </c>
      <c r="I11" s="15">
        <f t="shared" si="4"/>
        <v>164.07529411764705</v>
      </c>
      <c r="J11" s="15">
        <f t="shared" si="4"/>
        <v>164.07529411764705</v>
      </c>
      <c r="K11" s="15">
        <f t="shared" si="4"/>
        <v>164.07529411764705</v>
      </c>
      <c r="L11" s="15">
        <f t="shared" si="4"/>
        <v>164.07529411764705</v>
      </c>
      <c r="M11" s="15">
        <f t="shared" si="4"/>
        <v>164.07529411764705</v>
      </c>
      <c r="N11" s="15">
        <f t="shared" si="4"/>
        <v>164.07529411764705</v>
      </c>
      <c r="O11" s="15">
        <f t="shared" si="4"/>
        <v>164.07529411764705</v>
      </c>
      <c r="P11" s="15">
        <f t="shared" si="4"/>
        <v>164.07529411764705</v>
      </c>
      <c r="Q11" s="15">
        <f t="shared" si="4"/>
        <v>164.07529411764705</v>
      </c>
      <c r="R11" s="15">
        <f t="shared" si="4"/>
        <v>164.07529411764705</v>
      </c>
      <c r="S11" s="14">
        <f t="shared" si="2"/>
        <v>1968.9035294117641</v>
      </c>
    </row>
    <row r="12" spans="1:19" ht="13.95" customHeight="1" x14ac:dyDescent="0.3">
      <c r="A12" s="6" t="s">
        <v>18</v>
      </c>
      <c r="B12" s="6" t="s">
        <v>39</v>
      </c>
      <c r="C12" s="7" t="s">
        <v>20</v>
      </c>
      <c r="D12" s="8" t="s">
        <v>21</v>
      </c>
      <c r="E12" s="9" t="s">
        <v>22</v>
      </c>
      <c r="F12" s="10" t="s">
        <v>40</v>
      </c>
      <c r="G12" s="15">
        <f t="shared" si="4"/>
        <v>164.07529411764705</v>
      </c>
      <c r="H12" s="15">
        <f t="shared" si="4"/>
        <v>164.07529411764705</v>
      </c>
      <c r="I12" s="15">
        <f t="shared" si="4"/>
        <v>164.07529411764705</v>
      </c>
      <c r="J12" s="15">
        <f t="shared" si="4"/>
        <v>164.07529411764705</v>
      </c>
      <c r="K12" s="15">
        <f t="shared" si="4"/>
        <v>164.07529411764705</v>
      </c>
      <c r="L12" s="15">
        <f t="shared" si="4"/>
        <v>164.07529411764705</v>
      </c>
      <c r="M12" s="15">
        <f t="shared" si="4"/>
        <v>164.07529411764705</v>
      </c>
      <c r="N12" s="15">
        <f t="shared" si="4"/>
        <v>164.07529411764705</v>
      </c>
      <c r="O12" s="15">
        <f t="shared" si="4"/>
        <v>164.07529411764705</v>
      </c>
      <c r="P12" s="15">
        <f t="shared" si="4"/>
        <v>164.07529411764705</v>
      </c>
      <c r="Q12" s="15">
        <f t="shared" si="4"/>
        <v>164.07529411764705</v>
      </c>
      <c r="R12" s="15">
        <f t="shared" si="4"/>
        <v>164.07529411764705</v>
      </c>
      <c r="S12" s="14">
        <f t="shared" si="2"/>
        <v>1968.9035294117641</v>
      </c>
    </row>
    <row r="13" spans="1:19" ht="13.95" customHeight="1" x14ac:dyDescent="0.3">
      <c r="A13" s="6" t="s">
        <v>18</v>
      </c>
      <c r="B13" s="6" t="s">
        <v>41</v>
      </c>
      <c r="C13" s="7" t="s">
        <v>20</v>
      </c>
      <c r="D13" s="8" t="s">
        <v>21</v>
      </c>
      <c r="E13" s="9" t="s">
        <v>22</v>
      </c>
      <c r="F13" s="10" t="s">
        <v>42</v>
      </c>
      <c r="G13" s="15">
        <f t="shared" si="4"/>
        <v>164.07529411764705</v>
      </c>
      <c r="H13" s="15">
        <f t="shared" si="4"/>
        <v>164.07529411764705</v>
      </c>
      <c r="I13" s="15">
        <f t="shared" si="4"/>
        <v>164.07529411764705</v>
      </c>
      <c r="J13" s="15">
        <f t="shared" si="4"/>
        <v>164.07529411764705</v>
      </c>
      <c r="K13" s="15">
        <f t="shared" si="4"/>
        <v>164.07529411764705</v>
      </c>
      <c r="L13" s="15">
        <f t="shared" si="4"/>
        <v>164.07529411764705</v>
      </c>
      <c r="M13" s="15">
        <f t="shared" si="4"/>
        <v>164.07529411764705</v>
      </c>
      <c r="N13" s="15">
        <f t="shared" si="4"/>
        <v>164.07529411764705</v>
      </c>
      <c r="O13" s="15">
        <f t="shared" si="4"/>
        <v>164.07529411764705</v>
      </c>
      <c r="P13" s="15">
        <f t="shared" si="4"/>
        <v>164.07529411764705</v>
      </c>
      <c r="Q13" s="15">
        <f t="shared" si="4"/>
        <v>164.07529411764705</v>
      </c>
      <c r="R13" s="15">
        <f t="shared" si="4"/>
        <v>164.07529411764705</v>
      </c>
      <c r="S13" s="14">
        <f t="shared" si="2"/>
        <v>1968.9035294117641</v>
      </c>
    </row>
    <row r="14" spans="1:19" ht="13.95" customHeight="1" x14ac:dyDescent="0.3">
      <c r="A14" s="6" t="s">
        <v>18</v>
      </c>
      <c r="B14" s="6" t="s">
        <v>43</v>
      </c>
      <c r="C14" s="7" t="s">
        <v>20</v>
      </c>
      <c r="D14" s="8" t="s">
        <v>21</v>
      </c>
      <c r="E14" s="9" t="s">
        <v>22</v>
      </c>
      <c r="F14" s="10" t="s">
        <v>44</v>
      </c>
      <c r="G14" s="15">
        <f t="shared" si="4"/>
        <v>164.07529411764705</v>
      </c>
      <c r="H14" s="15">
        <f t="shared" si="4"/>
        <v>164.07529411764705</v>
      </c>
      <c r="I14" s="15">
        <f t="shared" si="4"/>
        <v>164.07529411764705</v>
      </c>
      <c r="J14" s="15">
        <f t="shared" si="4"/>
        <v>164.07529411764705</v>
      </c>
      <c r="K14" s="15">
        <f t="shared" si="4"/>
        <v>164.07529411764705</v>
      </c>
      <c r="L14" s="15">
        <f t="shared" si="4"/>
        <v>164.07529411764705</v>
      </c>
      <c r="M14" s="15">
        <f t="shared" si="4"/>
        <v>164.07529411764705</v>
      </c>
      <c r="N14" s="15">
        <f t="shared" si="4"/>
        <v>164.07529411764705</v>
      </c>
      <c r="O14" s="15">
        <f t="shared" si="4"/>
        <v>164.07529411764705</v>
      </c>
      <c r="P14" s="15">
        <f t="shared" si="4"/>
        <v>164.07529411764705</v>
      </c>
      <c r="Q14" s="15">
        <f t="shared" si="4"/>
        <v>164.07529411764705</v>
      </c>
      <c r="R14" s="15">
        <f t="shared" si="4"/>
        <v>164.07529411764705</v>
      </c>
      <c r="S14" s="14">
        <f t="shared" si="2"/>
        <v>1968.9035294117641</v>
      </c>
    </row>
    <row r="15" spans="1:19" ht="13.95" customHeight="1" x14ac:dyDescent="0.3">
      <c r="A15" s="6" t="s">
        <v>18</v>
      </c>
      <c r="B15" s="6" t="s">
        <v>45</v>
      </c>
      <c r="C15" s="7" t="s">
        <v>20</v>
      </c>
      <c r="D15" s="8" t="s">
        <v>21</v>
      </c>
      <c r="E15" s="9" t="s">
        <v>22</v>
      </c>
      <c r="F15" s="10" t="s">
        <v>46</v>
      </c>
      <c r="G15" s="15">
        <f t="shared" si="4"/>
        <v>164.07529411764705</v>
      </c>
      <c r="H15" s="15">
        <f t="shared" si="4"/>
        <v>164.07529411764705</v>
      </c>
      <c r="I15" s="15">
        <f t="shared" si="4"/>
        <v>164.07529411764705</v>
      </c>
      <c r="J15" s="15">
        <f t="shared" si="4"/>
        <v>164.07529411764705</v>
      </c>
      <c r="K15" s="15">
        <f t="shared" si="4"/>
        <v>164.07529411764705</v>
      </c>
      <c r="L15" s="15">
        <f t="shared" si="4"/>
        <v>164.07529411764705</v>
      </c>
      <c r="M15" s="15">
        <f t="shared" si="4"/>
        <v>164.07529411764705</v>
      </c>
      <c r="N15" s="15">
        <f t="shared" si="4"/>
        <v>164.07529411764705</v>
      </c>
      <c r="O15" s="15">
        <f t="shared" si="4"/>
        <v>164.07529411764705</v>
      </c>
      <c r="P15" s="15">
        <f t="shared" si="4"/>
        <v>164.07529411764705</v>
      </c>
      <c r="Q15" s="15">
        <f t="shared" si="4"/>
        <v>164.07529411764705</v>
      </c>
      <c r="R15" s="15">
        <f t="shared" si="4"/>
        <v>164.07529411764705</v>
      </c>
      <c r="S15" s="14">
        <f t="shared" si="2"/>
        <v>1968.9035294117641</v>
      </c>
    </row>
    <row r="16" spans="1:19" ht="13.95" customHeight="1" x14ac:dyDescent="0.3">
      <c r="A16" s="6" t="s">
        <v>18</v>
      </c>
      <c r="B16" s="6" t="s">
        <v>47</v>
      </c>
      <c r="C16" s="7" t="s">
        <v>20</v>
      </c>
      <c r="D16" s="8" t="s">
        <v>21</v>
      </c>
      <c r="E16" s="9" t="s">
        <v>22</v>
      </c>
      <c r="F16" s="10" t="s">
        <v>48</v>
      </c>
      <c r="G16" s="15">
        <f t="shared" si="4"/>
        <v>164.07529411764705</v>
      </c>
      <c r="H16" s="15">
        <f t="shared" si="4"/>
        <v>164.07529411764705</v>
      </c>
      <c r="I16" s="15">
        <f t="shared" si="4"/>
        <v>164.07529411764705</v>
      </c>
      <c r="J16" s="15">
        <f t="shared" si="4"/>
        <v>164.07529411764705</v>
      </c>
      <c r="K16" s="15">
        <f t="shared" si="4"/>
        <v>164.07529411764705</v>
      </c>
      <c r="L16" s="15">
        <f t="shared" si="4"/>
        <v>164.07529411764705</v>
      </c>
      <c r="M16" s="15">
        <f t="shared" si="4"/>
        <v>164.07529411764705</v>
      </c>
      <c r="N16" s="15">
        <f t="shared" si="4"/>
        <v>164.07529411764705</v>
      </c>
      <c r="O16" s="15">
        <f t="shared" si="4"/>
        <v>164.07529411764705</v>
      </c>
      <c r="P16" s="15">
        <f t="shared" si="4"/>
        <v>164.07529411764705</v>
      </c>
      <c r="Q16" s="15">
        <f t="shared" si="4"/>
        <v>164.07529411764705</v>
      </c>
      <c r="R16" s="15">
        <f t="shared" si="4"/>
        <v>164.07529411764705</v>
      </c>
      <c r="S16" s="14">
        <f t="shared" si="2"/>
        <v>1968.9035294117641</v>
      </c>
    </row>
    <row r="17" spans="1:19" ht="13.95" customHeight="1" x14ac:dyDescent="0.3">
      <c r="A17" s="6" t="s">
        <v>18</v>
      </c>
      <c r="B17" s="6" t="s">
        <v>49</v>
      </c>
      <c r="C17" s="7" t="s">
        <v>20</v>
      </c>
      <c r="D17" s="8" t="s">
        <v>21</v>
      </c>
      <c r="E17" s="9" t="s">
        <v>22</v>
      </c>
      <c r="F17" s="10" t="s">
        <v>50</v>
      </c>
      <c r="G17" s="15">
        <f t="shared" si="4"/>
        <v>164.07529411764705</v>
      </c>
      <c r="H17" s="15">
        <f t="shared" si="4"/>
        <v>164.07529411764705</v>
      </c>
      <c r="I17" s="15">
        <f t="shared" si="4"/>
        <v>164.07529411764705</v>
      </c>
      <c r="J17" s="15">
        <f t="shared" si="4"/>
        <v>164.07529411764705</v>
      </c>
      <c r="K17" s="15">
        <f t="shared" si="4"/>
        <v>164.07529411764705</v>
      </c>
      <c r="L17" s="15">
        <f t="shared" si="4"/>
        <v>164.07529411764705</v>
      </c>
      <c r="M17" s="15">
        <f t="shared" si="4"/>
        <v>164.07529411764705</v>
      </c>
      <c r="N17" s="15">
        <f t="shared" si="4"/>
        <v>164.07529411764705</v>
      </c>
      <c r="O17" s="15">
        <f t="shared" si="4"/>
        <v>164.07529411764705</v>
      </c>
      <c r="P17" s="15">
        <f t="shared" si="4"/>
        <v>164.07529411764705</v>
      </c>
      <c r="Q17" s="15">
        <f t="shared" si="4"/>
        <v>164.07529411764705</v>
      </c>
      <c r="R17" s="15">
        <f t="shared" si="4"/>
        <v>164.07529411764705</v>
      </c>
      <c r="S17" s="14">
        <f t="shared" si="2"/>
        <v>1968.9035294117641</v>
      </c>
    </row>
    <row r="18" spans="1:19" ht="13.95" customHeight="1" x14ac:dyDescent="0.3">
      <c r="A18" s="6" t="s">
        <v>18</v>
      </c>
      <c r="B18" s="6" t="s">
        <v>51</v>
      </c>
      <c r="C18" s="7" t="s">
        <v>20</v>
      </c>
      <c r="D18" s="8" t="s">
        <v>21</v>
      </c>
      <c r="E18" s="9" t="s">
        <v>22</v>
      </c>
      <c r="F18" s="10" t="s">
        <v>52</v>
      </c>
      <c r="G18" s="15">
        <f t="shared" si="4"/>
        <v>164.07529411764705</v>
      </c>
      <c r="H18" s="15">
        <f t="shared" si="4"/>
        <v>164.07529411764705</v>
      </c>
      <c r="I18" s="15">
        <f t="shared" si="4"/>
        <v>164.07529411764705</v>
      </c>
      <c r="J18" s="15">
        <f t="shared" si="4"/>
        <v>164.07529411764705</v>
      </c>
      <c r="K18" s="15">
        <f t="shared" si="4"/>
        <v>164.07529411764705</v>
      </c>
      <c r="L18" s="15">
        <f t="shared" si="4"/>
        <v>164.07529411764705</v>
      </c>
      <c r="M18" s="15">
        <f t="shared" si="4"/>
        <v>164.07529411764705</v>
      </c>
      <c r="N18" s="15">
        <f t="shared" si="4"/>
        <v>164.07529411764705</v>
      </c>
      <c r="O18" s="15">
        <f t="shared" si="4"/>
        <v>164.07529411764705</v>
      </c>
      <c r="P18" s="15">
        <f t="shared" si="4"/>
        <v>164.07529411764705</v>
      </c>
      <c r="Q18" s="15">
        <f t="shared" si="4"/>
        <v>164.07529411764705</v>
      </c>
      <c r="R18" s="15">
        <f t="shared" si="4"/>
        <v>164.07529411764705</v>
      </c>
      <c r="S18" s="14">
        <f>SUM(G18:R18)</f>
        <v>1968.9035294117641</v>
      </c>
    </row>
    <row r="19" spans="1:19" ht="13.95" customHeight="1" x14ac:dyDescent="0.3">
      <c r="A19" s="6" t="s">
        <v>18</v>
      </c>
      <c r="B19" s="6" t="s">
        <v>53</v>
      </c>
      <c r="C19" s="7" t="s">
        <v>20</v>
      </c>
      <c r="D19" s="8" t="s">
        <v>21</v>
      </c>
      <c r="E19" s="9" t="s">
        <v>22</v>
      </c>
      <c r="F19" s="10" t="s">
        <v>54</v>
      </c>
      <c r="G19" s="15">
        <f t="shared" si="4"/>
        <v>164.07529411764705</v>
      </c>
      <c r="H19" s="15">
        <f t="shared" si="4"/>
        <v>164.07529411764705</v>
      </c>
      <c r="I19" s="15">
        <f t="shared" si="4"/>
        <v>164.07529411764705</v>
      </c>
      <c r="J19" s="15">
        <f t="shared" si="4"/>
        <v>164.07529411764705</v>
      </c>
      <c r="K19" s="15">
        <f t="shared" si="4"/>
        <v>164.07529411764705</v>
      </c>
      <c r="L19" s="15">
        <f t="shared" si="4"/>
        <v>164.07529411764705</v>
      </c>
      <c r="M19" s="15">
        <f t="shared" si="4"/>
        <v>164.07529411764705</v>
      </c>
      <c r="N19" s="15">
        <f t="shared" si="4"/>
        <v>164.07529411764705</v>
      </c>
      <c r="O19" s="15">
        <f t="shared" si="4"/>
        <v>164.07529411764705</v>
      </c>
      <c r="P19" s="15">
        <f t="shared" si="4"/>
        <v>164.07529411764705</v>
      </c>
      <c r="Q19" s="15">
        <f t="shared" si="4"/>
        <v>164.07529411764705</v>
      </c>
      <c r="R19" s="15">
        <f t="shared" si="4"/>
        <v>164.07529411764705</v>
      </c>
      <c r="S19" s="14">
        <f t="shared" si="2"/>
        <v>1968.9035294117641</v>
      </c>
    </row>
    <row r="20" spans="1:19" ht="13.95" customHeight="1" x14ac:dyDescent="0.3">
      <c r="A20" s="6" t="s">
        <v>18</v>
      </c>
      <c r="B20" s="6" t="s">
        <v>55</v>
      </c>
      <c r="C20" s="7" t="s">
        <v>20</v>
      </c>
      <c r="D20" s="8" t="s">
        <v>21</v>
      </c>
      <c r="E20" s="9" t="s">
        <v>22</v>
      </c>
      <c r="F20" s="10" t="s">
        <v>56</v>
      </c>
      <c r="G20" s="15">
        <f t="shared" si="4"/>
        <v>164.07529411764705</v>
      </c>
      <c r="H20" s="15">
        <f t="shared" si="4"/>
        <v>164.07529411764705</v>
      </c>
      <c r="I20" s="15">
        <f t="shared" si="4"/>
        <v>164.07529411764705</v>
      </c>
      <c r="J20" s="15">
        <f t="shared" si="4"/>
        <v>164.07529411764705</v>
      </c>
      <c r="K20" s="15">
        <f t="shared" si="4"/>
        <v>164.07529411764705</v>
      </c>
      <c r="L20" s="15">
        <f t="shared" si="4"/>
        <v>164.07529411764705</v>
      </c>
      <c r="M20" s="15">
        <f t="shared" si="4"/>
        <v>164.07529411764705</v>
      </c>
      <c r="N20" s="15">
        <f t="shared" si="4"/>
        <v>164.07529411764705</v>
      </c>
      <c r="O20" s="15">
        <f t="shared" si="4"/>
        <v>164.07529411764705</v>
      </c>
      <c r="P20" s="15">
        <f t="shared" si="4"/>
        <v>164.07529411764705</v>
      </c>
      <c r="Q20" s="15">
        <f t="shared" si="4"/>
        <v>164.07529411764705</v>
      </c>
      <c r="R20" s="15">
        <f t="shared" si="4"/>
        <v>164.07529411764705</v>
      </c>
      <c r="S20" s="14">
        <f t="shared" si="2"/>
        <v>1968.9035294117641</v>
      </c>
    </row>
    <row r="21" spans="1:19" ht="13.95" customHeight="1" x14ac:dyDescent="0.3">
      <c r="A21" s="6" t="s">
        <v>18</v>
      </c>
      <c r="B21" s="6" t="s">
        <v>57</v>
      </c>
      <c r="C21" s="7" t="s">
        <v>20</v>
      </c>
      <c r="D21" s="8" t="s">
        <v>21</v>
      </c>
      <c r="E21" s="9" t="s">
        <v>22</v>
      </c>
      <c r="F21" s="10" t="s">
        <v>58</v>
      </c>
      <c r="G21" s="15">
        <f t="shared" si="4"/>
        <v>164.07529411764705</v>
      </c>
      <c r="H21" s="15">
        <f t="shared" si="4"/>
        <v>164.07529411764705</v>
      </c>
      <c r="I21" s="15">
        <f t="shared" si="4"/>
        <v>164.07529411764705</v>
      </c>
      <c r="J21" s="15">
        <f t="shared" si="4"/>
        <v>164.07529411764705</v>
      </c>
      <c r="K21" s="15">
        <f t="shared" si="4"/>
        <v>164.07529411764705</v>
      </c>
      <c r="L21" s="15">
        <f t="shared" si="4"/>
        <v>164.07529411764705</v>
      </c>
      <c r="M21" s="15">
        <f t="shared" si="4"/>
        <v>164.07529411764705</v>
      </c>
      <c r="N21" s="15">
        <f t="shared" si="4"/>
        <v>164.07529411764705</v>
      </c>
      <c r="O21" s="15">
        <f t="shared" si="4"/>
        <v>164.07529411764705</v>
      </c>
      <c r="P21" s="15">
        <f t="shared" si="4"/>
        <v>164.07529411764705</v>
      </c>
      <c r="Q21" s="15">
        <f t="shared" si="4"/>
        <v>164.07529411764705</v>
      </c>
      <c r="R21" s="15">
        <f t="shared" si="4"/>
        <v>164.07529411764705</v>
      </c>
      <c r="S21" s="14">
        <f t="shared" si="2"/>
        <v>1968.9035294117641</v>
      </c>
    </row>
    <row r="22" spans="1:19" ht="13.95" customHeight="1" x14ac:dyDescent="0.3">
      <c r="A22" s="6" t="s">
        <v>18</v>
      </c>
      <c r="B22" s="6" t="s">
        <v>59</v>
      </c>
      <c r="C22" s="7" t="s">
        <v>20</v>
      </c>
      <c r="D22" s="8" t="s">
        <v>21</v>
      </c>
      <c r="E22" s="9" t="s">
        <v>22</v>
      </c>
      <c r="F22" s="10" t="s">
        <v>60</v>
      </c>
      <c r="G22" s="15">
        <f t="shared" ref="G22:R22" si="5">(2682 / 17) + 0.04 * (2682 / 17)</f>
        <v>164.07529411764705</v>
      </c>
      <c r="H22" s="15">
        <f t="shared" si="5"/>
        <v>164.07529411764705</v>
      </c>
      <c r="I22" s="15">
        <f t="shared" si="5"/>
        <v>164.07529411764705</v>
      </c>
      <c r="J22" s="15">
        <f t="shared" si="5"/>
        <v>164.07529411764705</v>
      </c>
      <c r="K22" s="15">
        <f t="shared" si="5"/>
        <v>164.07529411764705</v>
      </c>
      <c r="L22" s="15">
        <f t="shared" si="5"/>
        <v>164.07529411764705</v>
      </c>
      <c r="M22" s="15">
        <f t="shared" si="5"/>
        <v>164.07529411764705</v>
      </c>
      <c r="N22" s="15">
        <f t="shared" si="5"/>
        <v>164.07529411764705</v>
      </c>
      <c r="O22" s="15">
        <f t="shared" si="5"/>
        <v>164.07529411764705</v>
      </c>
      <c r="P22" s="15">
        <f t="shared" si="5"/>
        <v>164.07529411764705</v>
      </c>
      <c r="Q22" s="15">
        <f t="shared" si="5"/>
        <v>164.07529411764705</v>
      </c>
      <c r="R22" s="15">
        <f t="shared" si="5"/>
        <v>164.07529411764705</v>
      </c>
      <c r="S22" s="14">
        <f t="shared" si="2"/>
        <v>1968.9035294117641</v>
      </c>
    </row>
    <row r="23" spans="1:19" x14ac:dyDescent="0.3">
      <c r="A23" s="6" t="s">
        <v>61</v>
      </c>
      <c r="B23" s="6" t="s">
        <v>19</v>
      </c>
      <c r="C23" s="9"/>
      <c r="D23" s="9" t="s">
        <v>62</v>
      </c>
      <c r="E23" s="9" t="s">
        <v>84</v>
      </c>
      <c r="F23" s="10" t="s">
        <v>63</v>
      </c>
      <c r="G23" s="13">
        <v>1850</v>
      </c>
      <c r="H23" s="13"/>
      <c r="I23" s="13"/>
      <c r="J23" s="13">
        <v>1850</v>
      </c>
      <c r="L23" s="13"/>
      <c r="N23" s="13">
        <v>1850</v>
      </c>
      <c r="O23" s="13"/>
      <c r="P23" s="13"/>
      <c r="Q23" s="13">
        <v>1850</v>
      </c>
      <c r="R23" s="13"/>
      <c r="S23" s="14">
        <f t="shared" si="2"/>
        <v>7400</v>
      </c>
    </row>
    <row r="24" spans="1:19" x14ac:dyDescent="0.3">
      <c r="A24" s="6" t="s">
        <v>61</v>
      </c>
      <c r="B24" s="6" t="s">
        <v>19</v>
      </c>
      <c r="C24" s="9"/>
      <c r="D24" s="9" t="s">
        <v>64</v>
      </c>
      <c r="E24" s="9" t="s">
        <v>84</v>
      </c>
      <c r="F24" s="10" t="s">
        <v>63</v>
      </c>
      <c r="G24" s="13">
        <v>3700</v>
      </c>
      <c r="H24" s="13">
        <v>3700</v>
      </c>
      <c r="I24" s="13">
        <v>3700</v>
      </c>
      <c r="J24" s="13">
        <v>3700</v>
      </c>
      <c r="K24" s="13">
        <v>3700</v>
      </c>
      <c r="L24" s="13">
        <v>3700</v>
      </c>
      <c r="M24" s="13">
        <v>3700</v>
      </c>
      <c r="N24" s="13">
        <v>3700</v>
      </c>
      <c r="O24" s="13">
        <v>3700</v>
      </c>
      <c r="P24" s="13">
        <v>3700</v>
      </c>
      <c r="Q24" s="13">
        <v>3700</v>
      </c>
      <c r="R24" s="13">
        <v>3700</v>
      </c>
      <c r="S24" s="14">
        <f t="shared" si="2"/>
        <v>44400</v>
      </c>
    </row>
    <row r="25" spans="1:19" x14ac:dyDescent="0.3">
      <c r="A25" s="6" t="s">
        <v>65</v>
      </c>
      <c r="B25" s="6" t="s">
        <v>19</v>
      </c>
      <c r="C25" s="9"/>
      <c r="D25" s="9" t="s">
        <v>66</v>
      </c>
      <c r="E25" s="9" t="s">
        <v>67</v>
      </c>
      <c r="F25" s="10" t="s">
        <v>63</v>
      </c>
      <c r="G25" s="13">
        <f t="shared" ref="G25:R25" si="6">$S$25 / 12</f>
        <v>2261.5191666666665</v>
      </c>
      <c r="H25" s="16">
        <f t="shared" si="6"/>
        <v>2261.5191666666665</v>
      </c>
      <c r="I25" s="16">
        <f t="shared" si="6"/>
        <v>2261.5191666666665</v>
      </c>
      <c r="J25" s="16">
        <f t="shared" si="6"/>
        <v>2261.5191666666665</v>
      </c>
      <c r="K25" s="16">
        <f t="shared" si="6"/>
        <v>2261.5191666666665</v>
      </c>
      <c r="L25" s="16">
        <f t="shared" si="6"/>
        <v>2261.5191666666665</v>
      </c>
      <c r="M25" s="16">
        <f t="shared" si="6"/>
        <v>2261.5191666666665</v>
      </c>
      <c r="N25" s="16">
        <f t="shared" si="6"/>
        <v>2261.5191666666665</v>
      </c>
      <c r="O25" s="16">
        <f t="shared" si="6"/>
        <v>2261.5191666666665</v>
      </c>
      <c r="P25" s="16">
        <f t="shared" si="6"/>
        <v>2261.5191666666665</v>
      </c>
      <c r="Q25" s="16">
        <f t="shared" si="6"/>
        <v>2261.5191666666665</v>
      </c>
      <c r="R25" s="16">
        <f t="shared" si="6"/>
        <v>2261.5191666666665</v>
      </c>
      <c r="S25" s="14">
        <v>27138.23</v>
      </c>
    </row>
    <row r="26" spans="1:19" x14ac:dyDescent="0.3">
      <c r="A26" s="6" t="s">
        <v>68</v>
      </c>
      <c r="B26" s="6" t="s">
        <v>19</v>
      </c>
      <c r="C26" s="9"/>
      <c r="D26" s="9" t="s">
        <v>69</v>
      </c>
      <c r="E26" s="9" t="s">
        <v>85</v>
      </c>
      <c r="F26" s="10" t="s">
        <v>63</v>
      </c>
      <c r="G26" s="13">
        <v>400</v>
      </c>
      <c r="H26" s="13">
        <v>400</v>
      </c>
      <c r="I26" s="13">
        <v>400</v>
      </c>
      <c r="J26" s="13">
        <v>400</v>
      </c>
      <c r="K26" s="13">
        <v>400</v>
      </c>
      <c r="L26" s="13">
        <v>400</v>
      </c>
      <c r="M26" s="13">
        <v>400</v>
      </c>
      <c r="N26" s="13">
        <v>400</v>
      </c>
      <c r="O26" s="13">
        <v>400</v>
      </c>
      <c r="P26" s="13">
        <v>400</v>
      </c>
      <c r="Q26" s="13">
        <v>400</v>
      </c>
      <c r="R26" s="13">
        <v>400</v>
      </c>
      <c r="S26" s="14">
        <f t="shared" si="2"/>
        <v>4800</v>
      </c>
    </row>
    <row r="27" spans="1:19" x14ac:dyDescent="0.3">
      <c r="A27" s="6" t="s">
        <v>70</v>
      </c>
      <c r="B27" s="6" t="s">
        <v>19</v>
      </c>
      <c r="C27" s="9"/>
      <c r="D27" s="9" t="s">
        <v>71</v>
      </c>
      <c r="E27" s="9" t="s">
        <v>86</v>
      </c>
      <c r="F27" s="10" t="s">
        <v>63</v>
      </c>
      <c r="G27" s="13">
        <v>200</v>
      </c>
      <c r="H27" s="13">
        <v>200</v>
      </c>
      <c r="I27" s="13">
        <v>200</v>
      </c>
      <c r="J27" s="13">
        <v>200</v>
      </c>
      <c r="K27" s="13">
        <v>200</v>
      </c>
      <c r="L27" s="13">
        <v>200</v>
      </c>
      <c r="M27" s="13">
        <v>200</v>
      </c>
      <c r="N27" s="13">
        <v>200</v>
      </c>
      <c r="O27" s="13">
        <v>200</v>
      </c>
      <c r="P27" s="13">
        <v>200</v>
      </c>
      <c r="Q27" s="13">
        <v>200</v>
      </c>
      <c r="R27" s="13">
        <v>200</v>
      </c>
      <c r="S27" s="14">
        <f t="shared" si="2"/>
        <v>2400</v>
      </c>
    </row>
    <row r="28" spans="1:19" x14ac:dyDescent="0.3">
      <c r="A28" s="6"/>
      <c r="B28" s="6"/>
      <c r="C28" s="17"/>
      <c r="D28" s="17" t="s">
        <v>72</v>
      </c>
      <c r="E28" s="17" t="s">
        <v>73</v>
      </c>
      <c r="F28" s="10" t="s">
        <v>63</v>
      </c>
      <c r="G28" s="13">
        <v>200</v>
      </c>
      <c r="H28" s="13">
        <v>200</v>
      </c>
      <c r="I28" s="13">
        <v>200</v>
      </c>
      <c r="J28" s="13">
        <v>200</v>
      </c>
      <c r="K28" s="13">
        <v>200</v>
      </c>
      <c r="L28" s="13">
        <v>200</v>
      </c>
      <c r="M28" s="13">
        <v>200</v>
      </c>
      <c r="N28" s="13">
        <v>200</v>
      </c>
      <c r="O28" s="13">
        <v>200</v>
      </c>
      <c r="P28" s="13">
        <v>200</v>
      </c>
      <c r="Q28" s="13">
        <v>200</v>
      </c>
      <c r="R28" s="13">
        <v>200</v>
      </c>
      <c r="S28" s="14">
        <f t="shared" si="2"/>
        <v>2400</v>
      </c>
    </row>
    <row r="29" spans="1:19" x14ac:dyDescent="0.3">
      <c r="A29" s="6"/>
      <c r="B29" s="6"/>
      <c r="C29" s="17"/>
      <c r="D29" s="17" t="s">
        <v>74</v>
      </c>
      <c r="E29" s="17" t="s">
        <v>75</v>
      </c>
      <c r="F29" s="10" t="s">
        <v>63</v>
      </c>
      <c r="G29" s="13">
        <v>3060</v>
      </c>
      <c r="H29" s="13">
        <v>3060</v>
      </c>
      <c r="I29" s="13">
        <v>3060</v>
      </c>
      <c r="J29" s="13">
        <v>3060</v>
      </c>
      <c r="K29" s="13">
        <v>3060</v>
      </c>
      <c r="L29" s="13">
        <v>3060</v>
      </c>
      <c r="M29" s="13">
        <v>3060</v>
      </c>
      <c r="N29" s="13">
        <v>3060</v>
      </c>
      <c r="O29" s="13">
        <v>3060</v>
      </c>
      <c r="P29" s="13">
        <v>3060</v>
      </c>
      <c r="Q29" s="13">
        <v>3060</v>
      </c>
      <c r="R29" s="13">
        <v>3060</v>
      </c>
      <c r="S29" s="14">
        <f t="shared" si="2"/>
        <v>36720</v>
      </c>
    </row>
    <row r="30" spans="1:19" x14ac:dyDescent="0.3">
      <c r="A30" s="6" t="s">
        <v>76</v>
      </c>
      <c r="B30" s="6" t="s">
        <v>19</v>
      </c>
      <c r="C30" s="17"/>
      <c r="D30" s="17"/>
      <c r="E30" s="17" t="s">
        <v>77</v>
      </c>
      <c r="F30" s="10" t="s">
        <v>87</v>
      </c>
      <c r="G30" s="13">
        <f t="shared" ref="G30:R33" si="7">60000 / 48</f>
        <v>1250</v>
      </c>
      <c r="H30" s="13">
        <f t="shared" si="7"/>
        <v>1250</v>
      </c>
      <c r="I30" s="13">
        <f t="shared" si="7"/>
        <v>1250</v>
      </c>
      <c r="J30" s="13">
        <f t="shared" si="7"/>
        <v>1250</v>
      </c>
      <c r="K30" s="13">
        <f t="shared" si="7"/>
        <v>1250</v>
      </c>
      <c r="L30" s="13">
        <f t="shared" si="7"/>
        <v>1250</v>
      </c>
      <c r="M30" s="13">
        <f t="shared" si="7"/>
        <v>1250</v>
      </c>
      <c r="N30" s="13">
        <f t="shared" si="7"/>
        <v>1250</v>
      </c>
      <c r="O30" s="13">
        <f t="shared" si="7"/>
        <v>1250</v>
      </c>
      <c r="P30" s="13">
        <f t="shared" si="7"/>
        <v>1250</v>
      </c>
      <c r="Q30" s="13">
        <f t="shared" si="7"/>
        <v>1250</v>
      </c>
      <c r="R30" s="13">
        <f t="shared" si="7"/>
        <v>1250</v>
      </c>
      <c r="S30" s="14">
        <f t="shared" si="2"/>
        <v>15000</v>
      </c>
    </row>
    <row r="31" spans="1:19" x14ac:dyDescent="0.3">
      <c r="A31" s="6" t="s">
        <v>78</v>
      </c>
      <c r="B31" s="6" t="s">
        <v>19</v>
      </c>
      <c r="C31" s="17"/>
      <c r="D31" s="17"/>
      <c r="E31" s="17" t="s">
        <v>79</v>
      </c>
      <c r="F31" s="10" t="s">
        <v>87</v>
      </c>
      <c r="G31" s="13">
        <f t="shared" si="7"/>
        <v>1250</v>
      </c>
      <c r="H31" s="13">
        <f t="shared" si="7"/>
        <v>1250</v>
      </c>
      <c r="I31" s="13">
        <f t="shared" si="7"/>
        <v>1250</v>
      </c>
      <c r="J31" s="13">
        <f t="shared" si="7"/>
        <v>1250</v>
      </c>
      <c r="K31" s="13">
        <f t="shared" si="7"/>
        <v>1250</v>
      </c>
      <c r="L31" s="13">
        <f t="shared" si="7"/>
        <v>1250</v>
      </c>
      <c r="M31" s="13">
        <f t="shared" si="7"/>
        <v>1250</v>
      </c>
      <c r="N31" s="13">
        <f t="shared" si="7"/>
        <v>1250</v>
      </c>
      <c r="O31" s="13">
        <f t="shared" si="7"/>
        <v>1250</v>
      </c>
      <c r="P31" s="13">
        <f t="shared" si="7"/>
        <v>1250</v>
      </c>
      <c r="Q31" s="13">
        <f t="shared" si="7"/>
        <v>1250</v>
      </c>
      <c r="R31" s="13">
        <f t="shared" si="7"/>
        <v>1250</v>
      </c>
      <c r="S31" s="14">
        <f t="shared" si="2"/>
        <v>15000</v>
      </c>
    </row>
    <row r="32" spans="1:19" x14ac:dyDescent="0.3">
      <c r="A32" s="6" t="s">
        <v>80</v>
      </c>
      <c r="B32" s="6" t="s">
        <v>19</v>
      </c>
      <c r="C32" s="17"/>
      <c r="D32" s="17"/>
      <c r="E32" s="17" t="s">
        <v>81</v>
      </c>
      <c r="F32" s="10" t="s">
        <v>87</v>
      </c>
      <c r="G32" s="13">
        <f t="shared" si="7"/>
        <v>1250</v>
      </c>
      <c r="H32" s="13">
        <f t="shared" si="7"/>
        <v>1250</v>
      </c>
      <c r="I32" s="13">
        <f t="shared" si="7"/>
        <v>1250</v>
      </c>
      <c r="J32" s="13">
        <f t="shared" si="7"/>
        <v>1250</v>
      </c>
      <c r="K32" s="13">
        <f t="shared" si="7"/>
        <v>1250</v>
      </c>
      <c r="L32" s="13">
        <f t="shared" si="7"/>
        <v>1250</v>
      </c>
      <c r="M32" s="13">
        <f t="shared" si="7"/>
        <v>1250</v>
      </c>
      <c r="N32" s="13">
        <f t="shared" si="7"/>
        <v>1250</v>
      </c>
      <c r="O32" s="13">
        <f t="shared" si="7"/>
        <v>1250</v>
      </c>
      <c r="P32" s="13">
        <f t="shared" si="7"/>
        <v>1250</v>
      </c>
      <c r="Q32" s="13">
        <f t="shared" si="7"/>
        <v>1250</v>
      </c>
      <c r="R32" s="13">
        <f t="shared" si="7"/>
        <v>1250</v>
      </c>
      <c r="S32" s="14">
        <f t="shared" si="2"/>
        <v>15000</v>
      </c>
    </row>
    <row r="33" spans="1:19" x14ac:dyDescent="0.3">
      <c r="A33" s="6" t="s">
        <v>82</v>
      </c>
      <c r="B33" s="6" t="s">
        <v>19</v>
      </c>
      <c r="C33" s="17"/>
      <c r="D33" s="17"/>
      <c r="E33" s="17" t="s">
        <v>83</v>
      </c>
      <c r="F33" s="10" t="s">
        <v>87</v>
      </c>
      <c r="G33" s="13">
        <f t="shared" si="7"/>
        <v>1250</v>
      </c>
      <c r="H33" s="13">
        <f t="shared" si="7"/>
        <v>1250</v>
      </c>
      <c r="I33" s="13">
        <f t="shared" si="7"/>
        <v>1250</v>
      </c>
      <c r="J33" s="13">
        <f t="shared" si="7"/>
        <v>1250</v>
      </c>
      <c r="K33" s="13">
        <f t="shared" si="7"/>
        <v>1250</v>
      </c>
      <c r="L33" s="13">
        <f t="shared" si="7"/>
        <v>1250</v>
      </c>
      <c r="M33" s="13">
        <f t="shared" si="7"/>
        <v>1250</v>
      </c>
      <c r="N33" s="13">
        <f t="shared" si="7"/>
        <v>1250</v>
      </c>
      <c r="O33" s="13">
        <f t="shared" si="7"/>
        <v>1250</v>
      </c>
      <c r="P33" s="13">
        <f t="shared" si="7"/>
        <v>1250</v>
      </c>
      <c r="Q33" s="13">
        <f t="shared" si="7"/>
        <v>1250</v>
      </c>
      <c r="R33" s="13">
        <f t="shared" si="7"/>
        <v>1250</v>
      </c>
      <c r="S33" s="14">
        <f t="shared" ref="S33" si="8">SUM(G33:R33)</f>
        <v>15000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Oliveira</dc:creator>
  <cp:lastModifiedBy>Francisco Chirlanio da Silva</cp:lastModifiedBy>
  <dcterms:created xsi:type="dcterms:W3CDTF">2025-12-11T19:47:26Z</dcterms:created>
  <dcterms:modified xsi:type="dcterms:W3CDTF">2026-04-20T21:22:20Z</dcterms:modified>
</cp:coreProperties>
</file>